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ndel/sync-wenamix/0 Projekte und Ausschreibungen/Datev/_operativ/DATEV_2025_Datenhaltung_Datenbanken/Lastmodell/"/>
    </mc:Choice>
  </mc:AlternateContent>
  <xr:revisionPtr revIDLastSave="0" documentId="13_ncr:1_{1E1A65A2-7245-3440-8F0E-AFD50AEFCED0}" xr6:coauthVersionLast="47" xr6:coauthVersionMax="47" xr10:uidLastSave="{00000000-0000-0000-0000-000000000000}"/>
  <bookViews>
    <workbookView xWindow="0" yWindow="880" windowWidth="36000" windowHeight="21540" xr2:uid="{D78820DA-772F-6842-BB46-F16CCB20E61D}"/>
  </bookViews>
  <sheets>
    <sheet name="Berechnungsdsaten" sheetId="1" r:id="rId1"/>
    <sheet name="StammdatenZeiten" sheetId="3" r:id="rId2"/>
    <sheet name="Fragen an S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8" i="3"/>
  <c r="C11" i="3" s="1"/>
  <c r="C13" i="3" s="1"/>
  <c r="C7" i="3"/>
  <c r="C10" i="3" s="1"/>
  <c r="C12" i="3" s="1"/>
  <c r="D46" i="1" l="1"/>
  <c r="D47" i="1"/>
  <c r="C14" i="3"/>
  <c r="D34" i="1" l="1"/>
  <c r="D33" i="1"/>
  <c r="D43" i="1"/>
  <c r="D48" i="1" s="1"/>
  <c r="C76" i="1" l="1"/>
  <c r="D49" i="1"/>
  <c r="C77" i="1"/>
  <c r="D50" i="1"/>
  <c r="D51" i="1"/>
  <c r="D53" i="1" l="1"/>
  <c r="D54" i="1" s="1"/>
  <c r="D55" i="1" s="1"/>
  <c r="D56" i="1" s="1"/>
  <c r="C81" i="1"/>
  <c r="C82" i="1" s="1"/>
  <c r="C14" i="1" s="1"/>
  <c r="D59" i="1" l="1"/>
  <c r="C11" i="1"/>
  <c r="D64" i="1"/>
  <c r="D65" i="1" l="1"/>
  <c r="D69" i="1" l="1"/>
  <c r="C10" i="1" s="1"/>
  <c r="C12" i="1"/>
  <c r="D70" i="1" l="1"/>
</calcChain>
</file>

<file path=xl/sharedStrings.xml><?xml version="1.0" encoding="utf-8"?>
<sst xmlns="http://schemas.openxmlformats.org/spreadsheetml/2006/main" count="95" uniqueCount="94">
  <si>
    <t>BerechnungsergebnisMA in KB</t>
  </si>
  <si>
    <t>BerechnungsergebnisUnternehmen in KB</t>
  </si>
  <si>
    <t>Gesamtgröße pro Berechnungstag in KB</t>
  </si>
  <si>
    <t>Gesamtgröße pro Berechnungstag in MB</t>
  </si>
  <si>
    <t>Gesamtgröße pro Berechnungstag in GB</t>
  </si>
  <si>
    <t>Betrachtung 1: Very Big OLTP</t>
  </si>
  <si>
    <t>Berechnungsdaten (Berechnungsdaten, Berechnungsergebnisse, Dü Verfahren)</t>
  </si>
  <si>
    <t>Zahl DÜ Verfahren MA</t>
  </si>
  <si>
    <t>Zahl DÜ Verfahren Unternehmen</t>
  </si>
  <si>
    <t>Freigabe --&gt; Persistent und alle Versionen vorher pro Berechnung löschen</t>
  </si>
  <si>
    <t>Kbyte</t>
  </si>
  <si>
    <t>Gesamtgröße pro Berechnungstag in TB (NUR freigegebene)</t>
  </si>
  <si>
    <t>Diesen Platz müssen wir immer vorhalten für die aktuelle Berechnung!</t>
  </si>
  <si>
    <t>Diesen Platz brauchen wir dauerhaft für die kommenden 5 Jahre</t>
  </si>
  <si>
    <t>Sagen wir: Ein Petabyte?</t>
  </si>
  <si>
    <t>Haltedauer in Jahren</t>
  </si>
  <si>
    <t>Größe eines Stammdaten/Zeiten Datensatzes in KB</t>
  </si>
  <si>
    <t>Zahl der Historieneinträge pro Stammdaten/Zeitensatz</t>
  </si>
  <si>
    <t>Zahl Unternehmen</t>
  </si>
  <si>
    <t>Zahl Mitarbeiter</t>
  </si>
  <si>
    <t>Zahl Datensätze Mitarbeiter inkl. Historie</t>
  </si>
  <si>
    <t>Zahl Datensätze Unternehmen inkl. Historie</t>
  </si>
  <si>
    <t>Größe Datensätze Mitarbeiter in KB</t>
  </si>
  <si>
    <t>Größe Datensätze Unternehmen in KB</t>
  </si>
  <si>
    <t>Größe Datensätze Mitarbeiter in TB</t>
  </si>
  <si>
    <t>Größe Datensätze Unternehmen in TB</t>
  </si>
  <si>
    <t>Gesamtgröße in TB Mitarbeiter + Unternehmen inkl. Historie zusammen</t>
  </si>
  <si>
    <t>Wir würden die nicht freigegebenen in einem Zeitraum von Tagen nach der Freigabe wieder löschen</t>
  </si>
  <si>
    <t>Wiederholung von oben: Zahl der Berechnungsläufe MA</t>
  </si>
  <si>
    <t>Wiederholung von oben: Zahl der Berechnungsläufe Unternehmen</t>
  </si>
  <si>
    <t>Gesamtgröße aller Datensätze in KB (MA+Unternehmen)</t>
  </si>
  <si>
    <t>Ist das eher eine "Small OLTP"?</t>
  </si>
  <si>
    <t>Größe eines Datensatzes für Berechnungstatus in KB (egal ob MA oder Unternehmen)</t>
  </si>
  <si>
    <t>Abfragen: wie sicher sind wir bei unseren Schätzungen? Hier mit min/max rechnen bei Schätzungen</t>
  </si>
  <si>
    <t>Immutable --&gt; nur neue Datensätze und löschen von alten. Niemals nie ein Update!</t>
  </si>
  <si>
    <t>RZ Verteilung?</t>
  </si>
  <si>
    <t>Sicherstellung Integrität nach Schreiben? --&gt; S3 Standard Feature: wird das unterstützt?</t>
  </si>
  <si>
    <t>Versionierung?</t>
  </si>
  <si>
    <t>Löschen von alten Versionen durch die Hardware</t>
  </si>
  <si>
    <t>Maximale Größe?</t>
  </si>
  <si>
    <t>Backup / Recovery Konzept / Glacier auf externes Medium? Erfahrungswerte mit Recovery Zeiten? Möglichkeiten in "Schichten" zu arbeiten (evtl. die jüngsten zuerst)</t>
  </si>
  <si>
    <t>Automatische Replikation zwischen Standorten? Falls ja, Zeitverzug?</t>
  </si>
  <si>
    <t>GRÖSSE</t>
  </si>
  <si>
    <t>#BERECHNUNGEN</t>
  </si>
  <si>
    <t>Zahl Berechnungsläufe pro Jahr</t>
  </si>
  <si>
    <t>Gesamtgröße pro Jahr  in TB (nur freigegebene ohne Puffer für aktuelle Berechnung)</t>
  </si>
  <si>
    <t>Muss partitioniert werden ? Bucket-Ebene vs. …</t>
  </si>
  <si>
    <t>Gesamtgröße für alle Jahre in TB + Grundbedarf für einen Monat</t>
  </si>
  <si>
    <t>Read after Write Consistency?</t>
  </si>
  <si>
    <t>Netzwerk zu den S3-Boxen? Durchsatzfähigkeit? Anbindung? Lastmodell?</t>
  </si>
  <si>
    <t>"HOT"; GRUNDBEDARF FÜR JEWEILS AKTUELLE MONATLICHE BERECHNUNG (Speicherung aller Datensätze, INKL NICHT FREIGEBENE) -- DAS BRAUCHEN WIR IMMER</t>
  </si>
  <si>
    <t xml:space="preserve">BEDARF ("HOT"+ "WARM") GESAMT: GRUNDBEDARF PRO MONAT + DAUERHAFTE SPEICHERUNG DER MONATLICHEN ERGEBNISSE </t>
  </si>
  <si>
    <t>Faktor für Risikopuffer/Contingency</t>
  </si>
  <si>
    <t>Replikationsfaktor (z.B. Postgres/S3 repliziert die Daten über alle 3 Azs --&gt; Faktor 3 für Gesamtstorage) --&gt; abhängig von Konzept Failover/DR</t>
  </si>
  <si>
    <t xml:space="preserve">PB Gesamtgröße für alle Jahre </t>
  </si>
  <si>
    <t>Betrachtung 2: Big OLTP für den Berechnungstatus</t>
  </si>
  <si>
    <t>Zahl Berechnungs-Datensätze Mitarbeiter bis zur Freigabe gesamt</t>
  </si>
  <si>
    <t>Zahl Berechnungs-Datensätze Unternehmen bis zur Freigabe gesamt</t>
  </si>
  <si>
    <t>Größe Berechnungsergebnis MA in KB</t>
  </si>
  <si>
    <t>Größe Berechnungssnapshots Mitarbeiter in KB</t>
  </si>
  <si>
    <t xml:space="preserve">blau = </t>
  </si>
  <si>
    <t xml:space="preserve">grün = </t>
  </si>
  <si>
    <t>Ergebnisfeld</t>
  </si>
  <si>
    <t>Zahl Berechnungen Mitarbeiter pro Monat</t>
  </si>
  <si>
    <t>Zahl Berechnungen Unternehmen pro Monat</t>
  </si>
  <si>
    <t>Zahl Berechnungsläufe bis zur Freigabe ("Probeberechnung")</t>
  </si>
  <si>
    <t>Replikation?</t>
  </si>
  <si>
    <t>Latenz für http-gets / http-puts? Ca?</t>
  </si>
  <si>
    <t>GB Gesamtgröße aller Datensätze in GB (MA+Unternehmen)</t>
  </si>
  <si>
    <t>Zusammenfassung: Datenmenge/Storage-Bedarf für Berechnungen</t>
  </si>
  <si>
    <t>Eingabefeld, kann geändert werden</t>
  </si>
  <si>
    <t>Faktor für Indizes - Annahme: für klassisch relation wie Postgres 1,5, für S3 nicht relevant</t>
  </si>
  <si>
    <t>Datenmenge für den Berechnungsstatus ("Small OLTP")</t>
  </si>
  <si>
    <t>"WARM": PERMANENTE SPEICHERUNG NACH EINER MONATLICHEN BERECHNUNG (wir behalten NUR FREIGEGEBENE) --&gt; Diese behalten wir dann aber dauerhaft</t>
  </si>
  <si>
    <t xml:space="preserve">TB Gesamtbedarf Storage </t>
  </si>
  <si>
    <t>Erkenntnis: Die Zahl der Berechnungsläufe vor einer Freigabe ist für die Datenmenge gar nicht so entscheidend</t>
  </si>
  <si>
    <t>Erkenntnis 2: wenn wir eh in Petabyte denken, was macht der Unterschied zwischen 1 und 2 Petabyte ("Cold" auch direkt mitspeichern?)</t>
  </si>
  <si>
    <t>Größe BerechnungsergebnisUnternehmen in KB</t>
  </si>
  <si>
    <t>Größe Meldadaten pro DÜ Verfahren Mitarbeiter</t>
  </si>
  <si>
    <t>Größe Meldedaten pro DÜ Verfahren Unternehmen</t>
  </si>
  <si>
    <t>Meldedaten aller DÜ-Verfahren Mitarbeiter in KB</t>
  </si>
  <si>
    <t>Meldedaten aller DÜ-Verfahren Unternehmen in KB</t>
  </si>
  <si>
    <t>Berechnungssnapshots - Berechnungsergebnisse - Meldedaten der DÜ-Verfahren</t>
  </si>
  <si>
    <t>Datenmenge für die Berechnungssnapshots und -ergebnisse inkl. DÜ-Verfahren ("Very Big OLTP")</t>
  </si>
  <si>
    <t>?? Offen: müssen DÜ-Verfahren auch speichern oder: nur lesen und ihre DÜ-Ergebnisse dann weitergeben?</t>
  </si>
  <si>
    <t>Größe Berechnungssnapshot Unternehmen in KB</t>
  </si>
  <si>
    <t>BerechnungssnapshotMA in KB</t>
  </si>
  <si>
    <t>BerechnungssnapshotUnternehmen in. KB</t>
  </si>
  <si>
    <t>Berechnungssnapshots DÜ-Verfahren MA in KB</t>
  </si>
  <si>
    <t>Berechnungssnapshots DÜ-Verfahren Unternehmen in KB</t>
  </si>
  <si>
    <t>Gesamtgröße pro Berechnungstag in TB (inkl. nicht freigegebene)</t>
  </si>
  <si>
    <t>Detailberechnung siehe unten - Wert bezieht sich auf jeweils ein RZ - bei Replikation auf 3 Standorte entsprechend multiplizieren - aufgrundet auf nächste 10er</t>
  </si>
  <si>
    <t>- davon "Hot" (Speicherung in der Berechnung)</t>
  </si>
  <si>
    <t>- davon "Warm" (Speicherung nach der Berechnung, nur freigegebene)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</si>
</sst>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2" borderId="0" xfId="0" applyNumberFormat="1" applyFill="1"/>
    <xf numFmtId="3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3" fontId="1" fillId="3" borderId="0" xfId="0" applyNumberFormat="1" applyFont="1" applyFill="1"/>
    <xf numFmtId="3" fontId="1" fillId="0" borderId="0" xfId="0" applyNumberFormat="1" applyFont="1"/>
    <xf numFmtId="3" fontId="1" fillId="5" borderId="0" xfId="0" applyNumberFormat="1" applyFont="1" applyFill="1"/>
    <xf numFmtId="0" fontId="1" fillId="5" borderId="0" xfId="0" applyFont="1" applyFill="1"/>
    <xf numFmtId="0" fontId="1" fillId="3" borderId="0" xfId="0" applyFont="1" applyFill="1"/>
    <xf numFmtId="3" fontId="2" fillId="6" borderId="0" xfId="0" applyNumberFormat="1" applyFont="1" applyFill="1"/>
    <xf numFmtId="0" fontId="1" fillId="4" borderId="0" xfId="0" applyFont="1" applyFill="1"/>
    <xf numFmtId="3" fontId="3" fillId="0" borderId="0" xfId="0" applyNumberFormat="1" applyFont="1"/>
    <xf numFmtId="0" fontId="3" fillId="0" borderId="0" xfId="0" applyFont="1"/>
    <xf numFmtId="0" fontId="0" fillId="0" borderId="1" xfId="0" applyBorder="1"/>
    <xf numFmtId="0" fontId="0" fillId="7" borderId="0" xfId="0" applyFill="1"/>
    <xf numFmtId="0" fontId="1" fillId="0" borderId="0" xfId="0" applyFont="1" applyAlignment="1">
      <alignment horizontal="center" vertical="center" textRotation="90"/>
    </xf>
    <xf numFmtId="0" fontId="4" fillId="0" borderId="0" xfId="0" applyFont="1"/>
    <xf numFmtId="0" fontId="0" fillId="0" borderId="0" xfId="0" applyFill="1"/>
    <xf numFmtId="0" fontId="0" fillId="9" borderId="0" xfId="0" applyFill="1"/>
    <xf numFmtId="0" fontId="0" fillId="2" borderId="0" xfId="0" applyFill="1"/>
    <xf numFmtId="0" fontId="5" fillId="0" borderId="0" xfId="0" applyFont="1"/>
    <xf numFmtId="0" fontId="4" fillId="3" borderId="0" xfId="0" applyFont="1" applyFill="1"/>
    <xf numFmtId="0" fontId="0" fillId="0" borderId="2" xfId="0" applyBorder="1"/>
    <xf numFmtId="0" fontId="0" fillId="0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1" fillId="0" borderId="0" xfId="0" applyFont="1" applyFill="1" applyBorder="1"/>
    <xf numFmtId="1" fontId="1" fillId="8" borderId="0" xfId="0" applyNumberFormat="1" applyFont="1" applyFill="1"/>
    <xf numFmtId="164" fontId="4" fillId="8" borderId="0" xfId="0" applyNumberFormat="1" applyFont="1" applyFill="1"/>
    <xf numFmtId="1" fontId="4" fillId="8" borderId="0" xfId="0" applyNumberFormat="1" applyFont="1" applyFill="1"/>
    <xf numFmtId="0" fontId="1" fillId="10" borderId="0" xfId="0" applyFont="1" applyFill="1"/>
    <xf numFmtId="0" fontId="4" fillId="0" borderId="0" xfId="0" quotePrefix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6397-3EC7-1B4D-963B-017FCCED9526}">
  <dimension ref="B2:P41439"/>
  <sheetViews>
    <sheetView tabSelected="1" topLeftCell="A33" zoomScaleNormal="100" workbookViewId="0">
      <selection activeCell="A64" sqref="A64:XFD64"/>
    </sheetView>
  </sheetViews>
  <sheetFormatPr baseColWidth="10" defaultRowHeight="16" x14ac:dyDescent="0.2"/>
  <cols>
    <col min="2" max="2" width="3.6640625" customWidth="1"/>
    <col min="3" max="3" width="11.1640625" bestFit="1" customWidth="1"/>
    <col min="4" max="4" width="14.6640625" bestFit="1" customWidth="1"/>
    <col min="10" max="10" width="57.5" customWidth="1"/>
  </cols>
  <sheetData>
    <row r="2" spans="2:10" x14ac:dyDescent="0.2">
      <c r="C2" s="23" t="s">
        <v>60</v>
      </c>
      <c r="D2" t="s">
        <v>70</v>
      </c>
    </row>
    <row r="3" spans="2:10" x14ac:dyDescent="0.2">
      <c r="C3" s="6" t="s">
        <v>61</v>
      </c>
      <c r="D3" t="s">
        <v>62</v>
      </c>
    </row>
    <row r="4" spans="2:10" ht="17" thickBot="1" x14ac:dyDescent="0.25">
      <c r="C4" s="21"/>
    </row>
    <row r="5" spans="2:10" ht="8" customHeight="1" x14ac:dyDescent="0.2">
      <c r="B5" s="26"/>
      <c r="C5" s="27"/>
      <c r="D5" s="27"/>
      <c r="E5" s="27"/>
      <c r="F5" s="27"/>
      <c r="G5" s="28"/>
      <c r="H5" s="28"/>
      <c r="I5" s="28"/>
      <c r="J5" s="29"/>
    </row>
    <row r="6" spans="2:10" ht="22" x14ac:dyDescent="0.3">
      <c r="B6" s="30"/>
      <c r="C6" s="31" t="s">
        <v>69</v>
      </c>
      <c r="D6" s="32"/>
      <c r="E6" s="32"/>
      <c r="F6" s="32"/>
      <c r="G6" s="33"/>
      <c r="H6" s="33"/>
      <c r="I6" s="33"/>
      <c r="J6" s="34"/>
    </row>
    <row r="7" spans="2:10" x14ac:dyDescent="0.2">
      <c r="B7" s="30"/>
      <c r="C7" s="39" t="s">
        <v>82</v>
      </c>
      <c r="D7" s="32"/>
      <c r="E7" s="32"/>
      <c r="F7" s="32"/>
      <c r="G7" s="33"/>
      <c r="H7" s="33"/>
      <c r="I7" s="33"/>
      <c r="J7" s="34"/>
    </row>
    <row r="8" spans="2:10" x14ac:dyDescent="0.2">
      <c r="B8" s="30"/>
      <c r="C8" s="32" t="s">
        <v>91</v>
      </c>
      <c r="D8" s="32"/>
      <c r="E8" s="32"/>
      <c r="F8" s="32"/>
      <c r="G8" s="33"/>
      <c r="H8" s="33"/>
      <c r="I8" s="33"/>
      <c r="J8" s="34"/>
    </row>
    <row r="9" spans="2:10" x14ac:dyDescent="0.2">
      <c r="B9" s="30"/>
      <c r="C9" s="32"/>
      <c r="D9" s="32"/>
      <c r="E9" s="32"/>
      <c r="F9" s="32"/>
      <c r="G9" s="33"/>
      <c r="H9" s="33"/>
      <c r="I9" s="33"/>
      <c r="J9" s="34"/>
    </row>
    <row r="10" spans="2:10" ht="22" x14ac:dyDescent="0.3">
      <c r="B10" s="30"/>
      <c r="C10" s="31" t="str">
        <f>CONCATENATE(TEXT(ROUNDUP(D69,-1),"0.0"), " TB")</f>
        <v>500 TB</v>
      </c>
      <c r="D10" s="31" t="s">
        <v>83</v>
      </c>
      <c r="E10" s="32"/>
      <c r="F10" s="32"/>
      <c r="G10" s="33"/>
      <c r="H10" s="33"/>
      <c r="I10" s="33"/>
      <c r="J10" s="34"/>
    </row>
    <row r="11" spans="2:10" ht="22" x14ac:dyDescent="0.3">
      <c r="B11" s="30"/>
      <c r="C11" s="31" t="str">
        <f>CONCATENATE(TEXT(ROUNDUP(D56,-1),"0.0"), " TB")</f>
        <v>60 TB</v>
      </c>
      <c r="D11" s="44" t="s">
        <v>92</v>
      </c>
      <c r="E11" s="32"/>
      <c r="F11" s="32"/>
      <c r="G11" s="33"/>
      <c r="H11" s="33"/>
      <c r="I11" s="33"/>
      <c r="J11" s="34"/>
    </row>
    <row r="12" spans="2:10" ht="22" x14ac:dyDescent="0.3">
      <c r="B12" s="30"/>
      <c r="C12" s="31" t="str">
        <f>CONCATENATE(TEXT(ROUNDUP(D65,-1),"0.0"), " TB")</f>
        <v>420 TB</v>
      </c>
      <c r="D12" s="44" t="s">
        <v>93</v>
      </c>
      <c r="E12" s="32"/>
      <c r="F12" s="32"/>
      <c r="G12" s="33"/>
      <c r="H12" s="33"/>
      <c r="I12" s="33"/>
      <c r="J12" s="34"/>
    </row>
    <row r="13" spans="2:10" ht="22" x14ac:dyDescent="0.3">
      <c r="B13" s="30"/>
      <c r="C13" s="31"/>
      <c r="D13" s="44"/>
      <c r="E13" s="32"/>
      <c r="F13" s="32"/>
      <c r="G13" s="33"/>
      <c r="H13" s="33"/>
      <c r="I13" s="33"/>
      <c r="J13" s="34"/>
    </row>
    <row r="14" spans="2:10" ht="22" x14ac:dyDescent="0.3">
      <c r="B14" s="30"/>
      <c r="C14" s="31" t="str">
        <f>CONCATENATE(C82," GB")</f>
        <v>165 GB</v>
      </c>
      <c r="D14" s="31" t="s">
        <v>72</v>
      </c>
      <c r="E14" s="32"/>
      <c r="F14" s="32"/>
      <c r="G14" s="33"/>
      <c r="H14" s="33"/>
      <c r="I14" s="33"/>
      <c r="J14" s="34"/>
    </row>
    <row r="15" spans="2:10" ht="7" customHeight="1" thickBot="1" x14ac:dyDescent="0.25">
      <c r="B15" s="35"/>
      <c r="C15" s="36"/>
      <c r="D15" s="36"/>
      <c r="E15" s="36"/>
      <c r="F15" s="36"/>
      <c r="G15" s="37"/>
      <c r="H15" s="37"/>
      <c r="I15" s="37"/>
      <c r="J15" s="38"/>
    </row>
    <row r="16" spans="2:10" ht="7" customHeight="1" x14ac:dyDescent="0.2">
      <c r="C16" s="21"/>
      <c r="D16" s="21"/>
      <c r="E16" s="21"/>
      <c r="F16" s="21"/>
    </row>
    <row r="17" spans="3:16" x14ac:dyDescent="0.2">
      <c r="C17" s="21"/>
      <c r="D17" s="21"/>
      <c r="E17" s="21"/>
      <c r="F17" s="21"/>
    </row>
    <row r="18" spans="3:16" x14ac:dyDescent="0.2">
      <c r="C18" s="2" t="s">
        <v>6</v>
      </c>
      <c r="D18" s="2"/>
      <c r="E18" s="2"/>
    </row>
    <row r="19" spans="3:16" ht="22" x14ac:dyDescent="0.3">
      <c r="C19" s="20" t="s">
        <v>5</v>
      </c>
      <c r="D19" s="20"/>
      <c r="E19" s="2"/>
      <c r="F19" t="s">
        <v>34</v>
      </c>
    </row>
    <row r="20" spans="3:16" x14ac:dyDescent="0.2">
      <c r="C20" s="2"/>
      <c r="D20" s="2"/>
      <c r="E20" s="2"/>
    </row>
    <row r="21" spans="3:16" x14ac:dyDescent="0.2">
      <c r="C21" s="19" t="s">
        <v>42</v>
      </c>
      <c r="D21" s="2" t="s">
        <v>10</v>
      </c>
      <c r="E21" s="2"/>
    </row>
    <row r="22" spans="3:16" x14ac:dyDescent="0.2">
      <c r="C22" s="19"/>
      <c r="D22" s="5">
        <v>20</v>
      </c>
      <c r="E22" t="s">
        <v>59</v>
      </c>
      <c r="I22" t="s">
        <v>33</v>
      </c>
    </row>
    <row r="23" spans="3:16" x14ac:dyDescent="0.2">
      <c r="C23" s="19"/>
      <c r="D23" s="5">
        <v>20</v>
      </c>
      <c r="E23" t="s">
        <v>58</v>
      </c>
    </row>
    <row r="24" spans="3:16" x14ac:dyDescent="0.2">
      <c r="C24" s="19"/>
    </row>
    <row r="25" spans="3:16" x14ac:dyDescent="0.2">
      <c r="C25" s="19"/>
      <c r="D25" s="5">
        <v>20</v>
      </c>
      <c r="E25" t="s">
        <v>85</v>
      </c>
    </row>
    <row r="26" spans="3:16" x14ac:dyDescent="0.2">
      <c r="C26" s="19"/>
      <c r="D26" s="5">
        <v>20</v>
      </c>
      <c r="E26" t="s">
        <v>77</v>
      </c>
    </row>
    <row r="27" spans="3:16" x14ac:dyDescent="0.2">
      <c r="C27" s="19"/>
    </row>
    <row r="28" spans="3:16" x14ac:dyDescent="0.2">
      <c r="C28" s="19"/>
      <c r="D28" s="5">
        <v>16</v>
      </c>
      <c r="E28" t="s">
        <v>7</v>
      </c>
    </row>
    <row r="29" spans="3:16" x14ac:dyDescent="0.2">
      <c r="C29" s="19"/>
      <c r="D29" s="5">
        <v>16</v>
      </c>
      <c r="E29" t="s">
        <v>8</v>
      </c>
    </row>
    <row r="30" spans="3:16" x14ac:dyDescent="0.2">
      <c r="C30" s="19"/>
    </row>
    <row r="31" spans="3:16" x14ac:dyDescent="0.2">
      <c r="C31" s="19"/>
      <c r="D31" s="5">
        <v>20</v>
      </c>
      <c r="E31" s="18" t="s">
        <v>78</v>
      </c>
      <c r="F31" s="18"/>
      <c r="G31" s="18"/>
      <c r="H31" s="18"/>
      <c r="I31" s="18"/>
      <c r="J31" s="18" t="s">
        <v>84</v>
      </c>
      <c r="K31" s="18"/>
      <c r="L31" s="18"/>
      <c r="M31" s="18"/>
      <c r="N31" s="18"/>
      <c r="O31" s="18"/>
      <c r="P31" s="18"/>
    </row>
    <row r="32" spans="3:16" x14ac:dyDescent="0.2">
      <c r="C32" s="19"/>
      <c r="D32" s="5">
        <v>20</v>
      </c>
      <c r="E32" s="18" t="s">
        <v>79</v>
      </c>
      <c r="F32" s="18"/>
      <c r="G32" s="18"/>
      <c r="H32" s="18"/>
      <c r="I32" s="18"/>
      <c r="J32" s="18" t="s">
        <v>84</v>
      </c>
      <c r="K32" s="18"/>
      <c r="L32" s="18"/>
      <c r="M32" s="18"/>
      <c r="N32" s="18"/>
      <c r="O32" s="18"/>
      <c r="P32" s="18"/>
    </row>
    <row r="33" spans="3:11" x14ac:dyDescent="0.2">
      <c r="C33" s="19"/>
      <c r="D33" s="6">
        <f>D31*D28</f>
        <v>320</v>
      </c>
      <c r="E33" t="s">
        <v>80</v>
      </c>
    </row>
    <row r="34" spans="3:11" x14ac:dyDescent="0.2">
      <c r="C34" s="19"/>
      <c r="D34" s="6">
        <f>D32*D29</f>
        <v>320</v>
      </c>
      <c r="E34" t="s">
        <v>81</v>
      </c>
    </row>
    <row r="36" spans="3:11" ht="6" customHeight="1" x14ac:dyDescent="0.2"/>
    <row r="37" spans="3:11" x14ac:dyDescent="0.2">
      <c r="C37" s="19" t="s">
        <v>43</v>
      </c>
      <c r="D37" s="3">
        <v>15000000</v>
      </c>
      <c r="E37" t="s">
        <v>63</v>
      </c>
    </row>
    <row r="38" spans="3:11" x14ac:dyDescent="0.2">
      <c r="C38" s="19"/>
      <c r="D38" s="3">
        <v>1500000</v>
      </c>
      <c r="E38" t="s">
        <v>64</v>
      </c>
    </row>
    <row r="39" spans="3:11" x14ac:dyDescent="0.2">
      <c r="C39" s="19"/>
    </row>
    <row r="40" spans="3:11" x14ac:dyDescent="0.2">
      <c r="C40" s="19"/>
      <c r="D40" s="5">
        <v>10</v>
      </c>
      <c r="E40" t="s">
        <v>65</v>
      </c>
    </row>
    <row r="41" spans="3:11" x14ac:dyDescent="0.2">
      <c r="C41" s="19"/>
    </row>
    <row r="42" spans="3:11" x14ac:dyDescent="0.2">
      <c r="C42" s="19"/>
      <c r="D42" s="4">
        <f>D40*D37</f>
        <v>150000000</v>
      </c>
      <c r="E42" t="s">
        <v>56</v>
      </c>
    </row>
    <row r="43" spans="3:11" x14ac:dyDescent="0.2">
      <c r="C43" s="19"/>
      <c r="D43" s="4">
        <f>D40*D38</f>
        <v>15000000</v>
      </c>
      <c r="E43" t="s">
        <v>57</v>
      </c>
    </row>
    <row r="44" spans="3:11" x14ac:dyDescent="0.2">
      <c r="D44" s="1"/>
    </row>
    <row r="45" spans="3:11" x14ac:dyDescent="0.2">
      <c r="D45" s="10" t="s">
        <v>50</v>
      </c>
      <c r="E45" s="11"/>
      <c r="F45" s="11"/>
      <c r="G45" s="11"/>
      <c r="H45" s="11"/>
      <c r="I45" s="11"/>
      <c r="J45" s="11"/>
      <c r="K45" s="11"/>
    </row>
    <row r="46" spans="3:11" x14ac:dyDescent="0.2">
      <c r="D46" s="15">
        <f>$D$42*D22</f>
        <v>3000000000</v>
      </c>
      <c r="E46" s="16" t="s">
        <v>86</v>
      </c>
    </row>
    <row r="47" spans="3:11" x14ac:dyDescent="0.2">
      <c r="D47" s="15">
        <f>$D$42*D23</f>
        <v>3000000000</v>
      </c>
      <c r="E47" s="16" t="s">
        <v>0</v>
      </c>
      <c r="J47" t="s">
        <v>9</v>
      </c>
    </row>
    <row r="48" spans="3:11" x14ac:dyDescent="0.2">
      <c r="D48" s="15">
        <f>D43*D25</f>
        <v>300000000</v>
      </c>
      <c r="E48" s="16" t="s">
        <v>87</v>
      </c>
    </row>
    <row r="49" spans="4:13" x14ac:dyDescent="0.2">
      <c r="D49" s="15">
        <f>D43*D26</f>
        <v>300000000</v>
      </c>
      <c r="E49" s="16" t="s">
        <v>1</v>
      </c>
    </row>
    <row r="50" spans="4:13" x14ac:dyDescent="0.2">
      <c r="D50" s="15">
        <f>D42*D33</f>
        <v>48000000000</v>
      </c>
      <c r="E50" s="16" t="s">
        <v>88</v>
      </c>
    </row>
    <row r="51" spans="4:13" x14ac:dyDescent="0.2">
      <c r="D51" s="15">
        <f>D43*D34</f>
        <v>4800000000</v>
      </c>
      <c r="E51" s="16" t="s">
        <v>89</v>
      </c>
    </row>
    <row r="52" spans="4:13" x14ac:dyDescent="0.2">
      <c r="D52" s="16"/>
      <c r="E52" s="16"/>
    </row>
    <row r="53" spans="4:13" x14ac:dyDescent="0.2">
      <c r="D53" s="15">
        <f>SUM(D46:D51)</f>
        <v>59400000000</v>
      </c>
      <c r="E53" s="16" t="s">
        <v>2</v>
      </c>
    </row>
    <row r="54" spans="4:13" x14ac:dyDescent="0.2">
      <c r="D54" s="15">
        <f>D53/1000</f>
        <v>59400000</v>
      </c>
      <c r="E54" s="16" t="s">
        <v>3</v>
      </c>
    </row>
    <row r="55" spans="4:13" x14ac:dyDescent="0.2">
      <c r="D55" s="1">
        <f>D54/1000</f>
        <v>59400</v>
      </c>
      <c r="E55" t="s">
        <v>4</v>
      </c>
    </row>
    <row r="56" spans="4:13" x14ac:dyDescent="0.2">
      <c r="D56" s="8">
        <f>D55/1000</f>
        <v>59.4</v>
      </c>
      <c r="E56" s="2" t="s">
        <v>90</v>
      </c>
      <c r="F56" s="2"/>
      <c r="G56" s="2"/>
      <c r="H56" s="2"/>
      <c r="K56" t="s">
        <v>12</v>
      </c>
    </row>
    <row r="57" spans="4:13" x14ac:dyDescent="0.2">
      <c r="D57" s="9"/>
      <c r="E57" s="2"/>
      <c r="F57" s="2"/>
      <c r="G57" s="2"/>
      <c r="H57" s="2"/>
    </row>
    <row r="58" spans="4:13" x14ac:dyDescent="0.2">
      <c r="D58" s="10" t="s">
        <v>73</v>
      </c>
      <c r="E58" s="11"/>
      <c r="F58" s="11"/>
      <c r="G58" s="11"/>
      <c r="H58" s="11"/>
      <c r="I58" s="7"/>
      <c r="J58" s="7"/>
      <c r="K58" s="7"/>
      <c r="L58" s="7"/>
      <c r="M58" s="7"/>
    </row>
    <row r="59" spans="4:13" x14ac:dyDescent="0.2">
      <c r="D59" s="8">
        <f>D56/D40</f>
        <v>5.9399999999999995</v>
      </c>
      <c r="E59" s="2" t="s">
        <v>11</v>
      </c>
      <c r="F59" s="2"/>
      <c r="G59" s="2"/>
      <c r="H59" s="2"/>
      <c r="K59" t="s">
        <v>13</v>
      </c>
    </row>
    <row r="60" spans="4:13" x14ac:dyDescent="0.2">
      <c r="D60" s="9"/>
      <c r="E60" s="2"/>
      <c r="F60" s="2"/>
      <c r="G60" s="2"/>
      <c r="H60" s="2"/>
      <c r="K60" t="s">
        <v>27</v>
      </c>
    </row>
    <row r="61" spans="4:13" x14ac:dyDescent="0.2">
      <c r="D61" s="10" t="s">
        <v>51</v>
      </c>
      <c r="E61" s="7"/>
      <c r="F61" s="7"/>
      <c r="G61" s="7"/>
      <c r="H61" s="7"/>
      <c r="I61" s="7"/>
      <c r="J61" s="7"/>
      <c r="K61" s="7"/>
    </row>
    <row r="62" spans="4:13" x14ac:dyDescent="0.2">
      <c r="D62" s="14">
        <v>12</v>
      </c>
      <c r="E62" t="s">
        <v>44</v>
      </c>
    </row>
    <row r="63" spans="4:13" x14ac:dyDescent="0.2">
      <c r="D63" s="14">
        <v>5</v>
      </c>
      <c r="E63" t="s">
        <v>15</v>
      </c>
    </row>
    <row r="64" spans="4:13" x14ac:dyDescent="0.2">
      <c r="D64" s="40">
        <f>D62*D59</f>
        <v>71.28</v>
      </c>
      <c r="E64" t="s">
        <v>45</v>
      </c>
    </row>
    <row r="65" spans="3:8" x14ac:dyDescent="0.2">
      <c r="D65" s="40">
        <f>D64*D63+D56</f>
        <v>415.79999999999995</v>
      </c>
      <c r="E65" s="2" t="s">
        <v>47</v>
      </c>
      <c r="F65" s="2"/>
      <c r="G65" s="2"/>
    </row>
    <row r="66" spans="3:8" x14ac:dyDescent="0.2">
      <c r="D66" s="43">
        <v>1</v>
      </c>
      <c r="E66" s="2" t="s">
        <v>52</v>
      </c>
      <c r="F66" s="2"/>
      <c r="G66" s="2"/>
    </row>
    <row r="67" spans="3:8" x14ac:dyDescent="0.2">
      <c r="D67" s="43">
        <v>1.2</v>
      </c>
      <c r="E67" s="2" t="s">
        <v>71</v>
      </c>
      <c r="F67" s="2"/>
      <c r="G67" s="2"/>
    </row>
    <row r="68" spans="3:8" x14ac:dyDescent="0.2">
      <c r="D68" s="43">
        <v>1</v>
      </c>
      <c r="E68" s="2" t="s">
        <v>53</v>
      </c>
      <c r="F68" s="2"/>
      <c r="G68" s="2"/>
    </row>
    <row r="69" spans="3:8" ht="22" x14ac:dyDescent="0.3">
      <c r="D69" s="42">
        <f>D68*D65*D66*D67</f>
        <v>498.95999999999992</v>
      </c>
      <c r="E69" s="2" t="s">
        <v>74</v>
      </c>
      <c r="F69" s="2"/>
      <c r="G69" s="2"/>
    </row>
    <row r="70" spans="3:8" ht="22" x14ac:dyDescent="0.3">
      <c r="D70" s="41">
        <f>D69/1000</f>
        <v>0.4989599999999999</v>
      </c>
      <c r="E70" s="2" t="s">
        <v>54</v>
      </c>
      <c r="H70" t="s">
        <v>14</v>
      </c>
    </row>
    <row r="71" spans="3:8" x14ac:dyDescent="0.2">
      <c r="D71" s="2"/>
      <c r="H71" t="s">
        <v>75</v>
      </c>
    </row>
    <row r="72" spans="3:8" x14ac:dyDescent="0.2">
      <c r="C72" s="2"/>
      <c r="H72" t="s">
        <v>76</v>
      </c>
    </row>
    <row r="74" spans="3:8" ht="22" x14ac:dyDescent="0.3">
      <c r="C74" s="20" t="s">
        <v>55</v>
      </c>
      <c r="D74" s="2"/>
      <c r="E74" s="2"/>
      <c r="F74" s="2"/>
    </row>
    <row r="76" spans="3:8" x14ac:dyDescent="0.2">
      <c r="C76" s="4">
        <f>D42</f>
        <v>150000000</v>
      </c>
      <c r="D76" t="s">
        <v>28</v>
      </c>
    </row>
    <row r="77" spans="3:8" x14ac:dyDescent="0.2">
      <c r="C77" s="4">
        <f>D43</f>
        <v>15000000</v>
      </c>
      <c r="D77" t="s">
        <v>29</v>
      </c>
    </row>
    <row r="79" spans="3:8" x14ac:dyDescent="0.2">
      <c r="C79" s="22">
        <v>1</v>
      </c>
      <c r="D79" t="s">
        <v>32</v>
      </c>
    </row>
    <row r="81" spans="3:10" x14ac:dyDescent="0.2">
      <c r="C81" s="4">
        <f>C79*(C76+C77)</f>
        <v>165000000</v>
      </c>
      <c r="D81" t="s">
        <v>30</v>
      </c>
    </row>
    <row r="82" spans="3:10" ht="22" x14ac:dyDescent="0.3">
      <c r="C82" s="25">
        <f>C81/(1000*1000)</f>
        <v>165</v>
      </c>
      <c r="D82" t="s">
        <v>68</v>
      </c>
      <c r="I82" s="24" t="s">
        <v>31</v>
      </c>
      <c r="J82" s="24"/>
    </row>
    <row r="41439" spans="5:5" x14ac:dyDescent="0.2">
      <c r="E41439" s="17"/>
    </row>
  </sheetData>
  <mergeCells count="2">
    <mergeCell ref="C21:C34"/>
    <mergeCell ref="C37:C43"/>
  </mergeCell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0F9E-9B32-064E-8B3E-E1DBE450E993}">
  <dimension ref="C3:D14"/>
  <sheetViews>
    <sheetView workbookViewId="0">
      <selection activeCell="C16" sqref="C16"/>
    </sheetView>
  </sheetViews>
  <sheetFormatPr baseColWidth="10" defaultRowHeight="16" x14ac:dyDescent="0.2"/>
  <cols>
    <col min="3" max="3" width="13.6640625" bestFit="1" customWidth="1"/>
  </cols>
  <sheetData>
    <row r="3" spans="3:4" x14ac:dyDescent="0.2">
      <c r="C3" s="14">
        <v>20</v>
      </c>
      <c r="D3" t="s">
        <v>16</v>
      </c>
    </row>
    <row r="4" spans="3:4" x14ac:dyDescent="0.2">
      <c r="C4" s="14">
        <v>10</v>
      </c>
      <c r="D4" t="s">
        <v>17</v>
      </c>
    </row>
    <row r="5" spans="3:4" x14ac:dyDescent="0.2">
      <c r="C5" s="13">
        <v>15000000</v>
      </c>
      <c r="D5" t="s">
        <v>19</v>
      </c>
    </row>
    <row r="6" spans="3:4" x14ac:dyDescent="0.2">
      <c r="C6" s="13">
        <v>1000000</v>
      </c>
      <c r="D6" t="s">
        <v>18</v>
      </c>
    </row>
    <row r="7" spans="3:4" x14ac:dyDescent="0.2">
      <c r="C7" s="4">
        <f>C5*C4</f>
        <v>150000000</v>
      </c>
      <c r="D7" t="s">
        <v>20</v>
      </c>
    </row>
    <row r="8" spans="3:4" x14ac:dyDescent="0.2">
      <c r="C8" s="4">
        <f>C6*C4</f>
        <v>10000000</v>
      </c>
      <c r="D8" t="s">
        <v>21</v>
      </c>
    </row>
    <row r="10" spans="3:4" x14ac:dyDescent="0.2">
      <c r="C10" s="1">
        <f>C7*C3</f>
        <v>3000000000</v>
      </c>
      <c r="D10" t="s">
        <v>22</v>
      </c>
    </row>
    <row r="11" spans="3:4" x14ac:dyDescent="0.2">
      <c r="C11" s="1">
        <f>C8*C3</f>
        <v>200000000</v>
      </c>
      <c r="D11" t="s">
        <v>23</v>
      </c>
    </row>
    <row r="12" spans="3:4" x14ac:dyDescent="0.2">
      <c r="C12">
        <f>C10/(1000*1000*1000)</f>
        <v>3</v>
      </c>
      <c r="D12" t="s">
        <v>24</v>
      </c>
    </row>
    <row r="13" spans="3:4" x14ac:dyDescent="0.2">
      <c r="C13">
        <f>C11/(1000*1000*1000)</f>
        <v>0.2</v>
      </c>
      <c r="D13" t="s">
        <v>25</v>
      </c>
    </row>
    <row r="14" spans="3:4" x14ac:dyDescent="0.2">
      <c r="C14" s="12">
        <f>C13+C12</f>
        <v>3.2</v>
      </c>
      <c r="D14" s="2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C4CC-1AC5-F043-BCCD-EF9DBF73E99E}">
  <dimension ref="B2:B14"/>
  <sheetViews>
    <sheetView workbookViewId="0">
      <selection activeCell="B7" sqref="B7"/>
    </sheetView>
  </sheetViews>
  <sheetFormatPr baseColWidth="10" defaultRowHeight="16" x14ac:dyDescent="0.2"/>
  <sheetData>
    <row r="2" spans="2:2" x14ac:dyDescent="0.2">
      <c r="B2" t="s">
        <v>39</v>
      </c>
    </row>
    <row r="3" spans="2:2" x14ac:dyDescent="0.2">
      <c r="B3" t="s">
        <v>35</v>
      </c>
    </row>
    <row r="4" spans="2:2" x14ac:dyDescent="0.2">
      <c r="B4" t="s">
        <v>66</v>
      </c>
    </row>
    <row r="5" spans="2:2" x14ac:dyDescent="0.2">
      <c r="B5" t="s">
        <v>37</v>
      </c>
    </row>
    <row r="6" spans="2:2" x14ac:dyDescent="0.2">
      <c r="B6" t="s">
        <v>38</v>
      </c>
    </row>
    <row r="7" spans="2:2" x14ac:dyDescent="0.2">
      <c r="B7" t="s">
        <v>67</v>
      </c>
    </row>
    <row r="8" spans="2:2" x14ac:dyDescent="0.2">
      <c r="B8" t="s">
        <v>49</v>
      </c>
    </row>
    <row r="9" spans="2:2" x14ac:dyDescent="0.2">
      <c r="B9" t="s">
        <v>40</v>
      </c>
    </row>
    <row r="10" spans="2:2" x14ac:dyDescent="0.2">
      <c r="B10" t="s">
        <v>41</v>
      </c>
    </row>
    <row r="12" spans="2:2" x14ac:dyDescent="0.2">
      <c r="B12" t="s">
        <v>48</v>
      </c>
    </row>
    <row r="13" spans="2:2" x14ac:dyDescent="0.2">
      <c r="B13" t="s">
        <v>36</v>
      </c>
    </row>
    <row r="14" spans="2:2" x14ac:dyDescent="0.2">
      <c r="B14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Berechnungsdsaten</vt:lpstr>
      <vt:lpstr>StammdatenZeiten</vt:lpstr>
      <vt:lpstr>Fragen an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 Stefan - extern</dc:creator>
  <cp:lastModifiedBy>Wendel Stefan - extern</cp:lastModifiedBy>
  <dcterms:created xsi:type="dcterms:W3CDTF">2025-11-19T15:56:27Z</dcterms:created>
  <dcterms:modified xsi:type="dcterms:W3CDTF">2025-12-10T07:44:44Z</dcterms:modified>
</cp:coreProperties>
</file>